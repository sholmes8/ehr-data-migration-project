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hidePivotFieldList="1" defaultThemeVersion="166925"/>
  <xr:revisionPtr revIDLastSave="0" documentId="8_{B5D9DD1F-27A7-4BA8-99FE-BDE9E40AAD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ublic Service Request Performa" sheetId="7" r:id="rId1"/>
    <sheet name="public_service_requests" sheetId="2" r:id="rId2"/>
    <sheet name="Requests by Department" sheetId="3" r:id="rId3"/>
    <sheet name="Avg Resolution Time" sheetId="4" r:id="rId4"/>
    <sheet name="Request Status" sheetId="5" r:id="rId5"/>
    <sheet name="Priority Breakdown" sheetId="6" r:id="rId6"/>
  </sheets>
  <definedNames>
    <definedName name="ExternalData_1" localSheetId="1" hidden="1">public_service_requests!$A$1:$G$11</definedName>
  </definedNames>
  <calcPr calcId="191028"/>
  <pivotCaches>
    <pivotCache cacheId="435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0054FE-0311-430D-8CC8-0F3A06B59438}" keepAlive="1" name="Query - public_service_requests" description="Connection to the 'public_service_requests' query in the workbook." type="5" refreshedVersion="8" background="1">
    <dbPr connection="Provider=Microsoft.Mashup.OleDb.1;Data Source=$Workbook$;Location=public_service_requests;Extended Properties=&quot;&quot;" command="SELECT * FROM [public_service_requests]"/>
  </connection>
</connections>
</file>

<file path=xl/sharedStrings.xml><?xml version="1.0" encoding="utf-8"?>
<sst xmlns="http://schemas.openxmlformats.org/spreadsheetml/2006/main" count="73" uniqueCount="24">
  <si>
    <t>Public Service Request Performance Dashboard</t>
  </si>
  <si>
    <t>request_id</t>
  </si>
  <si>
    <t>department</t>
  </si>
  <si>
    <t>request_type</t>
  </si>
  <si>
    <t>submitted_date</t>
  </si>
  <si>
    <t>resolution_days</t>
  </si>
  <si>
    <t>status</t>
  </si>
  <si>
    <t>priority</t>
  </si>
  <si>
    <t>Public Works</t>
  </si>
  <si>
    <t>Permit</t>
  </si>
  <si>
    <t>Completed</t>
  </si>
  <si>
    <t>Medium</t>
  </si>
  <si>
    <t>Code Enforcement</t>
  </si>
  <si>
    <t>Inspection</t>
  </si>
  <si>
    <t>High</t>
  </si>
  <si>
    <t>Transportation</t>
  </si>
  <si>
    <t>Repair</t>
  </si>
  <si>
    <t>Delayed</t>
  </si>
  <si>
    <t>Low</t>
  </si>
  <si>
    <t>Parks &amp; Recreation</t>
  </si>
  <si>
    <t>Maintenance</t>
  </si>
  <si>
    <t>Count of request_id</t>
  </si>
  <si>
    <t>Grand Total</t>
  </si>
  <si>
    <t>Average of resolution_days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</si>
</sst>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6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[Public_Service_Reporting_Dashboard.xlsx.xlsx]Avg Resolution Time!PivotTable2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Resolution Time'!$B$2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Resolution Time'!$A$3:$A$7</c:f>
              <c:strCache>
                <c:ptCount val="4"/>
                <c:pt idx="0">
                  <c:v>Code Enforcement</c:v>
                </c:pt>
                <c:pt idx="1">
                  <c:v>Parks &amp; Recreation</c:v>
                </c:pt>
                <c:pt idx="2">
                  <c:v>Public Works</c:v>
                </c:pt>
                <c:pt idx="3">
                  <c:v>Transportation</c:v>
                </c:pt>
              </c:strCache>
            </c:strRef>
          </c:cat>
          <c:val>
            <c:numRef>
              <c:f>'Avg Resolution Time'!$B$3:$B$7</c:f>
              <c:numCache>
                <c:formatCode>General</c:formatCode>
                <c:ptCount val="4"/>
                <c:pt idx="0">
                  <c:v>9</c:v>
                </c:pt>
                <c:pt idx="1">
                  <c:v>7.5</c:v>
                </c:pt>
                <c:pt idx="2">
                  <c:v>4</c:v>
                </c:pt>
                <c:pt idx="3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F8-4592-9462-5522AE110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517128"/>
        <c:axId val="1541188104"/>
      </c:barChart>
      <c:catAx>
        <c:axId val="99251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88104"/>
        <c:crosses val="autoZero"/>
        <c:auto val="1"/>
        <c:lblAlgn val="ctr"/>
        <c:lblOffset val="100"/>
        <c:noMultiLvlLbl val="0"/>
      </c:catAx>
      <c:valAx>
        <c:axId val="154118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1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[Public_Service_Reporting_Dashboard.xlsx.xlsx]Requests by Department!PivotTable1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'Requests by Department'!$B$2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'Requests by Department'!$A$3:$A$7</c:f>
              <c:strCache>
                <c:ptCount val="4"/>
                <c:pt idx="0">
                  <c:v>Code Enforcement</c:v>
                </c:pt>
                <c:pt idx="1">
                  <c:v>Parks &amp; Recreation</c:v>
                </c:pt>
                <c:pt idx="2">
                  <c:v>Public Works</c:v>
                </c:pt>
                <c:pt idx="3">
                  <c:v>Transportation</c:v>
                </c:pt>
              </c:strCache>
            </c:strRef>
          </c:cat>
          <c:val>
            <c:numRef>
              <c:f>'Requests by Department'!$B$3:$B$7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C-4F52-844F-E257BF4DC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535496"/>
        <c:axId val="866715144"/>
      </c:barChart>
      <c:catAx>
        <c:axId val="63353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15144"/>
        <c:crosses val="autoZero"/>
        <c:auto val="1"/>
        <c:lblAlgn val="ctr"/>
        <c:lblOffset val="100"/>
        <c:noMultiLvlLbl val="0"/>
      </c:catAx>
      <c:valAx>
        <c:axId val="86671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3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[Public_Service_Reporting_Dashboard.xlsx.xlsx]Request Status!PivotTable3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'Request Status'!$B$2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D1-4087-9DB9-C7CC7FBB88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D1-4087-9DB9-C7CC7FBB88B7}"/>
              </c:ext>
            </c:extLst>
          </c:dPt>
          <c:cat>
            <c:strRef>
              <c:f>'Request Status'!$A$3:$A$5</c:f>
              <c:strCache>
                <c:ptCount val="2"/>
                <c:pt idx="0">
                  <c:v>Completed</c:v>
                </c:pt>
                <c:pt idx="1">
                  <c:v>Delayed</c:v>
                </c:pt>
              </c:strCache>
            </c:strRef>
          </c:cat>
          <c:val>
            <c:numRef>
              <c:f>'Request Status'!$B$3:$B$5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D1-4087-9DB9-C7CC7FBB8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[Public_Service_Reporting_Dashboard.xlsx.xlsx]Priority Breakdown!PivotTable4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Priority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'Priority Breakdown'!$B$2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51-4F10-9B14-92C54D047C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51-4F10-9B14-92C54D047C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51-4F10-9B14-92C54D047C2F}"/>
              </c:ext>
            </c:extLst>
          </c:dPt>
          <c:cat>
            <c:strRef>
              <c:f>'Priority Breakdown'!$A$3:$A$6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'Priority Breakdown'!$B$3:$B$6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51-4F10-9B14-92C54D047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[Public_Service_Reporting_Dashboard.xlsx.xlsx]Requests by Department!PivotTable1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'Requests by Department'!$B$2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'Requests by Department'!$A$3:$A$7</c:f>
              <c:strCache>
                <c:ptCount val="4"/>
                <c:pt idx="0">
                  <c:v>Code Enforcement</c:v>
                </c:pt>
                <c:pt idx="1">
                  <c:v>Parks &amp; Recreation</c:v>
                </c:pt>
                <c:pt idx="2">
                  <c:v>Public Works</c:v>
                </c:pt>
                <c:pt idx="3">
                  <c:v>Transportation</c:v>
                </c:pt>
              </c:strCache>
            </c:strRef>
          </c:cat>
          <c:val>
            <c:numRef>
              <c:f>'Requests by Department'!$B$3:$B$7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C-4E73-B52B-D922786B6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535496"/>
        <c:axId val="866715144"/>
      </c:barChart>
      <c:catAx>
        <c:axId val="633535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715144"/>
        <c:crosses val="autoZero"/>
        <c:auto val="1"/>
        <c:lblAlgn val="ctr"/>
        <c:lblOffset val="100"/>
        <c:noMultiLvlLbl val="0"/>
      </c:catAx>
      <c:valAx>
        <c:axId val="86671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35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[Public_Service_Reporting_Dashboard.xlsx.xlsx]Avg Resolution Time!PivotTable2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Resolution Time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'Avg Resolution Time'!$B$2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'Avg Resolution Time'!$A$3:$A$7</c:f>
              <c:strCache>
                <c:ptCount val="4"/>
                <c:pt idx="0">
                  <c:v>Code Enforcement</c:v>
                </c:pt>
                <c:pt idx="1">
                  <c:v>Parks &amp; Recreation</c:v>
                </c:pt>
                <c:pt idx="2">
                  <c:v>Public Works</c:v>
                </c:pt>
                <c:pt idx="3">
                  <c:v>Transportation</c:v>
                </c:pt>
              </c:strCache>
            </c:strRef>
          </c:cat>
          <c:val>
            <c:numRef>
              <c:f>'Avg Resolution Time'!$B$3:$B$7</c:f>
              <c:numCache>
                <c:formatCode>General</c:formatCode>
                <c:ptCount val="4"/>
                <c:pt idx="0">
                  <c:v>9</c:v>
                </c:pt>
                <c:pt idx="1">
                  <c:v>7.5</c:v>
                </c:pt>
                <c:pt idx="2">
                  <c:v>4</c:v>
                </c:pt>
                <c:pt idx="3">
                  <c:v>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4-4EB2-8B27-4729DA4D5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2517128"/>
        <c:axId val="1541188104"/>
      </c:barChart>
      <c:catAx>
        <c:axId val="992517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188104"/>
        <c:crosses val="autoZero"/>
        <c:auto val="1"/>
        <c:lblAlgn val="ctr"/>
        <c:lblOffset val="100"/>
        <c:noMultiLvlLbl val="0"/>
      </c:catAx>
      <c:valAx>
        <c:axId val="154118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51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[Public_Service_Reporting_Dashboard.xlsx.xlsx]Request Status!PivotTable3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'Request Status'!$B$2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6F-4191-B0F9-8EAE111628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6F-4191-B0F9-8EAE111628A6}"/>
              </c:ext>
            </c:extLst>
          </c:dPt>
          <c:cat>
            <c:strRef>
              <c:f>'Request Status'!$A$3:$A$5</c:f>
              <c:strCache>
                <c:ptCount val="2"/>
                <c:pt idx="0">
                  <c:v>Completed</c:v>
                </c:pt>
                <c:pt idx="1">
                  <c:v>Delayed</c:v>
                </c:pt>
              </c:strCache>
            </c:strRef>
          </c:cat>
          <c:val>
            <c:numRef>
              <c:f>'Request Status'!$B$3:$B$5</c:f>
              <c:numCache>
                <c:formatCode>General</c:formatCode>
                <c:ptCount val="2"/>
                <c:pt idx="0">
                  <c:v>7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ED-45B9-87DD-4C6969969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[Public_Service_Reporting_Dashboard.xlsx.xlsx]Priority Breakdown!PivotTable4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Priority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'Priority Breakdown'!$B$2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F0-485D-95E1-3F34B5D8D7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F0-485D-95E1-3F34B5D8D7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1F0-485D-95E1-3F34B5D8D7B3}"/>
              </c:ext>
            </c:extLst>
          </c:dPt>
          <c:cat>
            <c:strRef>
              <c:f>'Priority Breakdown'!$A$3:$A$6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'Priority Breakdown'!$B$3:$B$6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C-4482-B886-2E084E8D8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180975</xdr:rowOff>
    </xdr:from>
    <xdr:to>
      <xdr:col>5</xdr:col>
      <xdr:colOff>600075</xdr:colOff>
      <xdr:row>26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10245-6198-4A66-BD79-2FD661326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6</xdr:col>
      <xdr:colOff>0</xdr:colOff>
      <xdr:row>14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AE294A-9244-4423-9C6A-AAF229DC562D}"/>
            </a:ext>
            <a:ext uri="{147F2762-F138-4A5C-976F-8EAC2B608ADB}">
              <a16:predDERef xmlns:a16="http://schemas.microsoft.com/office/drawing/2014/main" pred="{98210245-6198-4A66-BD79-2FD661326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10</xdr:col>
      <xdr:colOff>600075</xdr:colOff>
      <xdr:row>15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E8C1DF-E004-409F-994F-3CCDA0300F62}"/>
            </a:ext>
            <a:ext uri="{147F2762-F138-4A5C-976F-8EAC2B608ADB}">
              <a16:predDERef xmlns:a16="http://schemas.microsoft.com/office/drawing/2014/main" pred="{58AE294A-9244-4423-9C6A-AAF229DC5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11</xdr:col>
      <xdr:colOff>0</xdr:colOff>
      <xdr:row>27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67ABBF-B96C-4F68-9C7E-75F7B688CFC5}"/>
            </a:ext>
            <a:ext uri="{147F2762-F138-4A5C-976F-8EAC2B608ADB}">
              <a16:predDERef xmlns:a16="http://schemas.microsoft.com/office/drawing/2014/main" pred="{52E8C1DF-E004-409F-994F-3CCDA0300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171450</xdr:rowOff>
    </xdr:from>
    <xdr:to>
      <xdr:col>10</xdr:col>
      <xdr:colOff>0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CEE8A-BC3A-99B0-4B95-5984266B61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180975</xdr:rowOff>
    </xdr:from>
    <xdr:to>
      <xdr:col>7</xdr:col>
      <xdr:colOff>600075</xdr:colOff>
      <xdr:row>12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6B8DA2-48A7-5C04-DFDB-B94950B67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180975</xdr:rowOff>
    </xdr:from>
    <xdr:to>
      <xdr:col>6</xdr:col>
      <xdr:colOff>600075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B6C519-D853-DA2F-753C-B80C6F1B7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1266825</xdr:colOff>
      <xdr:row>1</xdr:row>
      <xdr:rowOff>0</xdr:rowOff>
    </xdr:from>
    <xdr:to>
      <xdr:col>6</xdr:col>
      <xdr:colOff>600075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8DF3D-F95A-F45C-7BB8-932645687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8.74069027778" createdVersion="8" refreshedVersion="8" minRefreshableVersion="3" recordCount="10" xr:uid="{9370437C-91D2-4DE2-87D7-6BB306BFF506}">
  <cacheSource type="worksheet">
    <worksheetSource name="public_service_requests"/>
  </cacheSource>
  <cacheFields count="7">
    <cacheField name="request_id" numFmtId="0">
      <sharedItems containsSemiMixedTypes="0" containsString="0" containsNumber="1" containsInteger="1" minValue="1001" maxValue="1010"/>
    </cacheField>
    <cacheField name="department" numFmtId="0">
      <sharedItems count="4">
        <s v="Public Works"/>
        <s v="Code Enforcement"/>
        <s v="Transportation"/>
        <s v="Parks &amp; Recreation"/>
      </sharedItems>
    </cacheField>
    <cacheField name="request_type" numFmtId="0">
      <sharedItems/>
    </cacheField>
    <cacheField name="submitted_date" numFmtId="14">
      <sharedItems containsSemiMixedTypes="0" containsNonDate="0" containsDate="1" containsString="0" minDate="2024-09-01T00:00:00" maxDate="2024-09-11T00:00:00"/>
    </cacheField>
    <cacheField name="resolution_days" numFmtId="0">
      <sharedItems containsSemiMixedTypes="0" containsString="0" containsNumber="1" containsInteger="1" minValue="3" maxValue="12"/>
    </cacheField>
    <cacheField name="status" numFmtId="0">
      <sharedItems count="2">
        <s v="Completed"/>
        <s v="Delayed"/>
      </sharedItems>
    </cacheField>
    <cacheField name="priority" numFmtId="0">
      <sharedItems count="3">
        <s v="Medium"/>
        <s v="High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x v="0"/>
    <s v="Permit"/>
    <d v="2024-09-01T00:00:00"/>
    <n v="5"/>
    <x v="0"/>
    <x v="0"/>
  </r>
  <r>
    <n v="1002"/>
    <x v="1"/>
    <s v="Inspection"/>
    <d v="2024-09-02T00:00:00"/>
    <n v="8"/>
    <x v="0"/>
    <x v="1"/>
  </r>
  <r>
    <n v="1003"/>
    <x v="2"/>
    <s v="Repair"/>
    <d v="2024-09-03T00:00:00"/>
    <n v="12"/>
    <x v="1"/>
    <x v="1"/>
  </r>
  <r>
    <n v="1004"/>
    <x v="0"/>
    <s v="Permit"/>
    <d v="2024-09-04T00:00:00"/>
    <n v="4"/>
    <x v="0"/>
    <x v="2"/>
  </r>
  <r>
    <n v="1005"/>
    <x v="3"/>
    <s v="Maintenance"/>
    <d v="2024-09-05T00:00:00"/>
    <n v="6"/>
    <x v="0"/>
    <x v="0"/>
  </r>
  <r>
    <n v="1006"/>
    <x v="1"/>
    <s v="Inspection"/>
    <d v="2024-09-06T00:00:00"/>
    <n v="10"/>
    <x v="1"/>
    <x v="1"/>
  </r>
  <r>
    <n v="1007"/>
    <x v="2"/>
    <s v="Repair"/>
    <d v="2024-09-07T00:00:00"/>
    <n v="7"/>
    <x v="0"/>
    <x v="0"/>
  </r>
  <r>
    <n v="1008"/>
    <x v="0"/>
    <s v="Permit"/>
    <d v="2024-09-08T00:00:00"/>
    <n v="3"/>
    <x v="0"/>
    <x v="2"/>
  </r>
  <r>
    <n v="1009"/>
    <x v="3"/>
    <s v="Maintenance"/>
    <d v="2024-09-09T00:00:00"/>
    <n v="9"/>
    <x v="1"/>
    <x v="1"/>
  </r>
  <r>
    <n v="1010"/>
    <x v="0"/>
    <s v="Permit"/>
    <d v="2024-09-10T00:00:00"/>
    <n v="4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E09B89-37E7-4A71-A506-C9FF733FDA20}" name="PivotTable1" cacheId="4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7" firstHeaderRow="1" firstDataRow="1" firstDataCol="1"/>
  <pivotFields count="7">
    <pivotField dataField="1"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quest_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4839C-4EEC-49F3-A3E4-8200F928CFC3}" name="PivotTable2" cacheId="4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7" firstHeaderRow="1" firstDataRow="1" firstDataCol="1"/>
  <pivotFields count="7"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olution_days" fld="4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EF5A4-1F37-438E-9DDB-59F51D5C4C97}" name="PivotTable3" cacheId="4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5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request_id" fld="0" subtotal="count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A20D8-2EA1-430A-8BC8-5F3CFB19FF38}" name="PivotTable4" cacheId="43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:B6" firstHeaderRow="1" firstDataRow="1" firstDataCol="1"/>
  <pivotFields count="7"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quest_id" fld="0" subtotal="count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B25E36-E7B4-4F88-92E9-328B4F74C1E7}" autoFormatId="16" applyNumberFormats="0" applyBorderFormats="0" applyFontFormats="0" applyPatternFormats="0" applyAlignmentFormats="0" applyWidthHeightFormats="0">
  <queryTableRefresh nextId="8">
    <queryTableFields count="7">
      <queryTableField id="1" name="request_id" tableColumnId="1"/>
      <queryTableField id="2" name="department" tableColumnId="2"/>
      <queryTableField id="3" name="request_type" tableColumnId="3"/>
      <queryTableField id="4" name="submitted_date" tableColumnId="4"/>
      <queryTableField id="5" name="resolution_days" tableColumnId="5"/>
      <queryTableField id="6" name="status" tableColumnId="6"/>
      <queryTableField id="7" name="prior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C60CB2-09F1-4227-9039-9D11F2460229}" name="public_service_requests" displayName="public_service_requests" ref="A1:G11" tableType="queryTable" totalsRowShown="0">
  <autoFilter ref="A1:G11" xr:uid="{98C60CB2-09F1-4227-9039-9D11F2460229}"/>
  <tableColumns count="7">
    <tableColumn id="1" xr3:uid="{7F689E4A-F448-49C8-93AA-BE340F6B6B0B}" uniqueName="1" name="request_id" queryTableFieldId="1"/>
    <tableColumn id="2" xr3:uid="{4F2A9100-DEF4-4673-9DA0-810A78E81CCD}" uniqueName="2" name="department" queryTableFieldId="2" dataDxfId="4"/>
    <tableColumn id="3" xr3:uid="{7ABB8753-C97A-4223-9349-5FA685BF89DA}" uniqueName="3" name="request_type" queryTableFieldId="3" dataDxfId="3"/>
    <tableColumn id="4" xr3:uid="{D59DA5E7-EE49-4AB3-8146-61B52EE84307}" uniqueName="4" name="submitted_date" queryTableFieldId="4" dataDxfId="2"/>
    <tableColumn id="5" xr3:uid="{E9867648-3BCA-4883-83A5-9C15D96BAFF1}" uniqueName="5" name="resolution_days" queryTableFieldId="5"/>
    <tableColumn id="6" xr3:uid="{226C92DF-7FFC-4826-AC7D-DC848A501D78}" uniqueName="6" name="status" queryTableFieldId="6" dataDxfId="1"/>
    <tableColumn id="7" xr3:uid="{E13478A8-7DD0-4E03-A896-ADE9089466C1}" uniqueName="7" name="priorit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17D5-0D35-41B1-906A-711642CFC49D}">
  <dimension ref="A1:K1"/>
  <sheetViews>
    <sheetView tabSelected="1" workbookViewId="0">
      <selection activeCell="M14" sqref="M14"/>
    </sheetView>
  </sheetViews>
  <sheetFormatPr defaultRowHeight="15"/>
  <sheetData>
    <row r="1" spans="1:11" ht="2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</sheetData>
  <mergeCells count="1">
    <mergeCell ref="A1:K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99FA-88D7-4FC2-801F-63D7E6B50533}">
  <dimension ref="A1:G11"/>
  <sheetViews>
    <sheetView topLeftCell="D1" workbookViewId="0">
      <selection activeCell="C8" sqref="C8"/>
    </sheetView>
  </sheetViews>
  <sheetFormatPr defaultRowHeight="15"/>
  <cols>
    <col min="1" max="1" width="13" bestFit="1" customWidth="1"/>
    <col min="2" max="2" width="18" bestFit="1" customWidth="1"/>
    <col min="3" max="3" width="15.28515625" bestFit="1" customWidth="1"/>
    <col min="4" max="5" width="17.85546875" bestFit="1" customWidth="1"/>
    <col min="6" max="6" width="10.7109375" bestFit="1" customWidth="1"/>
    <col min="7" max="7" width="10" bestFit="1" customWidth="1"/>
  </cols>
  <sheetData>
    <row r="1" spans="1:7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>
        <v>1001</v>
      </c>
      <c r="B2" t="s">
        <v>8</v>
      </c>
      <c r="C2" t="s">
        <v>9</v>
      </c>
      <c r="D2" s="1">
        <v>45536</v>
      </c>
      <c r="E2">
        <v>5</v>
      </c>
      <c r="F2" t="s">
        <v>10</v>
      </c>
      <c r="G2" t="s">
        <v>11</v>
      </c>
    </row>
    <row r="3" spans="1:7">
      <c r="A3">
        <v>1002</v>
      </c>
      <c r="B3" t="s">
        <v>12</v>
      </c>
      <c r="C3" t="s">
        <v>13</v>
      </c>
      <c r="D3" s="1">
        <v>45537</v>
      </c>
      <c r="E3">
        <v>8</v>
      </c>
      <c r="F3" t="s">
        <v>10</v>
      </c>
      <c r="G3" t="s">
        <v>14</v>
      </c>
    </row>
    <row r="4" spans="1:7">
      <c r="A4">
        <v>1003</v>
      </c>
      <c r="B4" t="s">
        <v>15</v>
      </c>
      <c r="C4" t="s">
        <v>16</v>
      </c>
      <c r="D4" s="1">
        <v>45538</v>
      </c>
      <c r="E4">
        <v>12</v>
      </c>
      <c r="F4" t="s">
        <v>17</v>
      </c>
      <c r="G4" t="s">
        <v>14</v>
      </c>
    </row>
    <row r="5" spans="1:7">
      <c r="A5">
        <v>1004</v>
      </c>
      <c r="B5" t="s">
        <v>8</v>
      </c>
      <c r="C5" t="s">
        <v>9</v>
      </c>
      <c r="D5" s="1">
        <v>45539</v>
      </c>
      <c r="E5">
        <v>4</v>
      </c>
      <c r="F5" t="s">
        <v>10</v>
      </c>
      <c r="G5" t="s">
        <v>18</v>
      </c>
    </row>
    <row r="6" spans="1:7">
      <c r="A6">
        <v>1005</v>
      </c>
      <c r="B6" t="s">
        <v>19</v>
      </c>
      <c r="C6" t="s">
        <v>20</v>
      </c>
      <c r="D6" s="1">
        <v>45540</v>
      </c>
      <c r="E6">
        <v>6</v>
      </c>
      <c r="F6" t="s">
        <v>10</v>
      </c>
      <c r="G6" t="s">
        <v>11</v>
      </c>
    </row>
    <row r="7" spans="1:7">
      <c r="A7">
        <v>1006</v>
      </c>
      <c r="B7" t="s">
        <v>12</v>
      </c>
      <c r="C7" t="s">
        <v>13</v>
      </c>
      <c r="D7" s="1">
        <v>45541</v>
      </c>
      <c r="E7">
        <v>10</v>
      </c>
      <c r="F7" t="s">
        <v>17</v>
      </c>
      <c r="G7" t="s">
        <v>14</v>
      </c>
    </row>
    <row r="8" spans="1:7">
      <c r="A8">
        <v>1007</v>
      </c>
      <c r="B8" t="s">
        <v>15</v>
      </c>
      <c r="C8" t="s">
        <v>16</v>
      </c>
      <c r="D8" s="1">
        <v>45542</v>
      </c>
      <c r="E8">
        <v>7</v>
      </c>
      <c r="F8" t="s">
        <v>10</v>
      </c>
      <c r="G8" t="s">
        <v>11</v>
      </c>
    </row>
    <row r="9" spans="1:7">
      <c r="A9">
        <v>1008</v>
      </c>
      <c r="B9" t="s">
        <v>8</v>
      </c>
      <c r="C9" t="s">
        <v>9</v>
      </c>
      <c r="D9" s="1">
        <v>45543</v>
      </c>
      <c r="E9">
        <v>3</v>
      </c>
      <c r="F9" t="s">
        <v>10</v>
      </c>
      <c r="G9" t="s">
        <v>18</v>
      </c>
    </row>
    <row r="10" spans="1:7">
      <c r="A10">
        <v>1009</v>
      </c>
      <c r="B10" t="s">
        <v>19</v>
      </c>
      <c r="C10" t="s">
        <v>20</v>
      </c>
      <c r="D10" s="1">
        <v>45544</v>
      </c>
      <c r="E10">
        <v>9</v>
      </c>
      <c r="F10" t="s">
        <v>17</v>
      </c>
      <c r="G10" t="s">
        <v>14</v>
      </c>
    </row>
    <row r="11" spans="1:7">
      <c r="A11">
        <v>1010</v>
      </c>
      <c r="B11" t="s">
        <v>8</v>
      </c>
      <c r="C11" t="s">
        <v>9</v>
      </c>
      <c r="D11" s="1">
        <v>45545</v>
      </c>
      <c r="E11">
        <v>4</v>
      </c>
      <c r="F11" t="s">
        <v>10</v>
      </c>
      <c r="G1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1C68-6311-4639-BD2E-6601B0A7BDF8}">
  <dimension ref="A2:B7"/>
  <sheetViews>
    <sheetView workbookViewId="0">
      <selection activeCell="B15" sqref="B15"/>
    </sheetView>
  </sheetViews>
  <sheetFormatPr defaultRowHeight="15"/>
  <cols>
    <col min="1" max="1" width="18" bestFit="1" customWidth="1"/>
    <col min="2" max="2" width="19.140625" bestFit="1" customWidth="1"/>
  </cols>
  <sheetData>
    <row r="2" spans="1:2">
      <c r="A2" s="2" t="s">
        <v>2</v>
      </c>
      <c r="B2" t="s">
        <v>21</v>
      </c>
    </row>
    <row r="3" spans="1:2">
      <c r="A3" t="s">
        <v>12</v>
      </c>
      <c r="B3">
        <v>2</v>
      </c>
    </row>
    <row r="4" spans="1:2">
      <c r="A4" t="s">
        <v>19</v>
      </c>
      <c r="B4">
        <v>2</v>
      </c>
    </row>
    <row r="5" spans="1:2">
      <c r="A5" t="s">
        <v>8</v>
      </c>
      <c r="B5">
        <v>4</v>
      </c>
    </row>
    <row r="6" spans="1:2">
      <c r="A6" t="s">
        <v>15</v>
      </c>
      <c r="B6">
        <v>2</v>
      </c>
    </row>
    <row r="7" spans="1:2">
      <c r="A7" t="s">
        <v>22</v>
      </c>
      <c r="B7">
        <v>10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8FC5-5AA1-416C-8534-FF3B77912C1E}">
  <dimension ref="A2:B7"/>
  <sheetViews>
    <sheetView topLeftCell="B1" workbookViewId="0">
      <selection activeCell="C17" sqref="C17"/>
    </sheetView>
  </sheetViews>
  <sheetFormatPr defaultRowHeight="15"/>
  <cols>
    <col min="1" max="1" width="18" bestFit="1" customWidth="1"/>
    <col min="2" max="2" width="26" bestFit="1" customWidth="1"/>
  </cols>
  <sheetData>
    <row r="2" spans="1:2">
      <c r="A2" s="2" t="s">
        <v>2</v>
      </c>
      <c r="B2" t="s">
        <v>23</v>
      </c>
    </row>
    <row r="3" spans="1:2">
      <c r="A3" t="s">
        <v>12</v>
      </c>
      <c r="B3">
        <v>9</v>
      </c>
    </row>
    <row r="4" spans="1:2">
      <c r="A4" t="s">
        <v>19</v>
      </c>
      <c r="B4">
        <v>7.5</v>
      </c>
    </row>
    <row r="5" spans="1:2">
      <c r="A5" t="s">
        <v>8</v>
      </c>
      <c r="B5">
        <v>4</v>
      </c>
    </row>
    <row r="6" spans="1:2">
      <c r="A6" t="s">
        <v>15</v>
      </c>
      <c r="B6">
        <v>9.5</v>
      </c>
    </row>
    <row r="7" spans="1:2">
      <c r="A7" t="s">
        <v>22</v>
      </c>
      <c r="B7">
        <v>6.8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20A0-3892-48DE-9E51-3D5E9470F2B8}">
  <dimension ref="A2:B5"/>
  <sheetViews>
    <sheetView topLeftCell="B1" workbookViewId="0">
      <selection activeCell="F16" sqref="F16"/>
    </sheetView>
  </sheetViews>
  <sheetFormatPr defaultRowHeight="15"/>
  <cols>
    <col min="1" max="1" width="11.7109375" bestFit="1" customWidth="1"/>
    <col min="2" max="2" width="19.140625" bestFit="1" customWidth="1"/>
  </cols>
  <sheetData>
    <row r="2" spans="1:2">
      <c r="A2" s="2" t="s">
        <v>6</v>
      </c>
      <c r="B2" t="s">
        <v>21</v>
      </c>
    </row>
    <row r="3" spans="1:2">
      <c r="A3" t="s">
        <v>10</v>
      </c>
      <c r="B3">
        <v>7</v>
      </c>
    </row>
    <row r="4" spans="1:2">
      <c r="A4" t="s">
        <v>17</v>
      </c>
      <c r="B4">
        <v>3</v>
      </c>
    </row>
    <row r="5" spans="1:2">
      <c r="A5" t="s">
        <v>22</v>
      </c>
      <c r="B5">
        <v>10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360A-AC21-455E-BBBC-EC4FD1BD1B8E}">
  <dimension ref="A2:B6"/>
  <sheetViews>
    <sheetView workbookViewId="0">
      <selection activeCell="H9" sqref="H9"/>
    </sheetView>
  </sheetViews>
  <sheetFormatPr defaultRowHeight="15"/>
  <cols>
    <col min="1" max="1" width="11.7109375" bestFit="1" customWidth="1"/>
    <col min="2" max="2" width="19.140625" bestFit="1" customWidth="1"/>
  </cols>
  <sheetData>
    <row r="2" spans="1:2">
      <c r="A2" s="2" t="s">
        <v>7</v>
      </c>
      <c r="B2" t="s">
        <v>21</v>
      </c>
    </row>
    <row r="3" spans="1:2">
      <c r="A3" t="s">
        <v>14</v>
      </c>
      <c r="B3">
        <v>4</v>
      </c>
    </row>
    <row r="4" spans="1:2">
      <c r="A4" t="s">
        <v>18</v>
      </c>
      <c r="B4">
        <v>3</v>
      </c>
    </row>
    <row r="5" spans="1:2">
      <c r="A5" t="s">
        <v>11</v>
      </c>
      <c r="B5">
        <v>3</v>
      </c>
    </row>
    <row r="6" spans="1:2">
      <c r="A6" t="s">
        <v>22</v>
      </c>
      <c r="B6">
        <v>10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FF1F16-437C-4640-890C-68FF554141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2026-01-26T22:26:39Z</dcterms:created>
  <dcterms:modified xsi:type="dcterms:W3CDTF">2026-01-26T23:05:18Z</dcterms:modified>
  <cp:category/>
  <cp:contentStatus/>
</cp:coreProperties>
</file>